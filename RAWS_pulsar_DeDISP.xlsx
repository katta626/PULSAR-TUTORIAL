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M" sheetId="1" state="visible" r:id="rId2"/>
    <sheet name="RAWS DM" sheetId="2" state="visible" r:id="rId3"/>
    <sheet name="checkDDPlan" sheetId="3" state="visible" r:id="rId4"/>
    <sheet name="links" sheetId="4" state="visible" r:id="rId5"/>
    <sheet name="Scattering" sheetId="5" state="visible" r:id="rId6"/>
    <sheet name="Sheet4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<sst xmlns="http://schemas.openxmlformats.org/spreadsheetml/2006/main" count="279" uniqueCount="126">
  <si>
    <t xml:space="preserve">Example PSR
</t>
  </si>
  <si>
    <t xml:space="preserve">Dispersion Delay</t>
  </si>
  <si>
    <t xml:space="preserve">DM=</t>
  </si>
  <si>
    <t xml:space="preserve">pc/cc^3</t>
  </si>
  <si>
    <t xml:space="preserve">K=</t>
  </si>
  <si>
    <t xml:space="preserve">f1_MHz=</t>
  </si>
  <si>
    <t xml:space="preserve">MHz</t>
  </si>
  <si>
    <t xml:space="preserve">f2_MHz=</t>
  </si>
  <si>
    <t xml:space="preserve">BW_MHz=</t>
  </si>
  <si>
    <t xml:space="preserve">Time delay in ms</t>
  </si>
  <si>
    <t xml:space="preserve">td_ms=</t>
  </si>
  <si>
    <t xml:space="preserve">ms</t>
  </si>
  <si>
    <t xml:space="preserve">td_s=</t>
  </si>
  <si>
    <t xml:space="preserve">s</t>
  </si>
  <si>
    <t xml:space="preserve">CRAB
</t>
  </si>
  <si>
    <t xml:space="preserve">B0531+21 J0534+2200 P0:0.0333924123 F0:29.946923 DM:56.77118  24  W50: 3.0  Flux1400: 550 mJy 100 14 3  </t>
  </si>
  <si>
    <t xml:space="preserve">PSRJ            J1921+2153</t>
  </si>
  <si>
    <t xml:space="preserve">Dispersion Smear</t>
  </si>
  <si>
    <t xml:space="preserve">RAJ             19:21:44.815             2.000e-03</t>
  </si>
  <si>
    <t xml:space="preserve">@f1</t>
  </si>
  <si>
    <t xml:space="preserve">@f2</t>
  </si>
  <si>
    <t xml:space="preserve">@f3</t>
  </si>
  <si>
    <t xml:space="preserve">@f4</t>
  </si>
  <si>
    <t xml:space="preserve">DECJ            +21:53:02.25             4.000e-02</t>
  </si>
  <si>
    <t xml:space="preserve">fo_MHz=</t>
  </si>
  <si>
    <t xml:space="preserve">DM              12.44399                 6.300e-04</t>
  </si>
  <si>
    <t xml:space="preserve">PEPOCH          48999.00</t>
  </si>
  <si>
    <t xml:space="preserve">tau_disp_ms=</t>
  </si>
  <si>
    <t xml:space="preserve">F0              0.7477741603725          5.000e-13</t>
  </si>
  <si>
    <t xml:space="preserve">tau_disp_s=</t>
  </si>
  <si>
    <t xml:space="preserve">F1              -7.53872E-16             4.000e-21</t>
  </si>
  <si>
    <t xml:space="preserve">1/tau_disp_s=</t>
  </si>
  <si>
    <t xml:space="preserve">PSRJ</t>
  </si>
  <si>
    <t xml:space="preserve">J1136+1551</t>
  </si>
  <si>
    <t xml:space="preserve">J1243+17</t>
  </si>
  <si>
    <t xml:space="preserve">J1503+2111</t>
  </si>
  <si>
    <t xml:space="preserve">172.17.20.225</t>
  </si>
  <si>
    <t xml:space="preserve">P0 (s)</t>
  </si>
  <si>
    <t xml:space="preserve">DM (cm^-3 pc)</t>
  </si>
  <si>
    <t xml:space="preserve">S400 (mJy)</t>
  </si>
  <si>
    <t xml:space="preserve">*</t>
  </si>
  <si>
    <t xml:space="preserve">XJ1921+2153</t>
  </si>
  <si>
    <t xml:space="preserve">import struct</t>
  </si>
  <si>
    <t xml:space="preserve">import numpy as np</t>
  </si>
  <si>
    <t xml:space="preserve">import matplotlib.pyplot as plt</t>
  </si>
  <si>
    <t xml:space="preserve">graphx@equinox:~/pulsar_data_analysis$ readfile drx_58601_B1919+21_subs_0001.fits</t>
  </si>
  <si>
    <t xml:space="preserve">Assuming the data is in PSRFITS format.</t>
  </si>
  <si>
    <t xml:space="preserve">DM=12.44</t>
  </si>
  <si>
    <t xml:space="preserve">delta_f=0.00957</t>
  </si>
  <si>
    <t xml:space="preserve">Warning!:  Channel spacing changes in file 0!</t>
  </si>
  <si>
    <t xml:space="preserve">freq_cen=50</t>
  </si>
  <si>
    <t xml:space="preserve">t_smear_secs= 8.29*1e3*DM*(delta_f/freq_cen**3)</t>
  </si>
  <si>
    <t xml:space="preserve">1: From the PSRFITS file 'drx_58601_B1919+21_subs_0001.fits':</t>
  </si>
  <si>
    <t xml:space="preserve">print('Smearing is '+ str(t_smear_secs)+' s')</t>
  </si>
  <si>
    <t xml:space="preserve">Telescope = LWA</t>
  </si>
  <si>
    <t xml:space="preserve">Observer = writePsrfits2Multi.py</t>
  </si>
  <si>
    <t xml:space="preserve">freq_bw_opt = ((10**-2)*(freq_cen**1.5)*(DM**-0.5))</t>
  </si>
  <si>
    <t xml:space="preserve">Source Name = B1919+21</t>
  </si>
  <si>
    <t xml:space="preserve">print('Freq BW is.......:'+str(delta_f*1e3)+'  KHz')</t>
  </si>
  <si>
    <t xml:space="preserve">Frontend = LWA</t>
  </si>
  <si>
    <t xml:space="preserve">print('Required opt.BW ..'+str(freq_bw_opt)+' KHz')</t>
  </si>
  <si>
    <t xml:space="preserve">Backend = DRX</t>
  </si>
  <si>
    <t xml:space="preserve">#print(((202.0/freq_cen)**3)*DM*delta_f)</t>
  </si>
  <si>
    <t xml:space="preserve">Project ID = Pulsar</t>
  </si>
  <si>
    <t xml:space="preserve">Obs Date String = 2019-04-28T11:53:25</t>
  </si>
  <si>
    <t xml:space="preserve">MJD start time (DATE-OBS) = 58601.49542824074074</t>
  </si>
  <si>
    <t xml:space="preserve">MJD start time (STT_*) = 58601.49543275637552</t>
  </si>
  <si>
    <t xml:space="preserve">RA J2000 = 19:21:44.82</t>
  </si>
  <si>
    <t xml:space="preserve">RA J2000 (deg) = 290.43675</t>
  </si>
  <si>
    <t xml:space="preserve">Smearing is 0.0080439528 s</t>
  </si>
  <si>
    <t xml:space="preserve">Dec J2000 = 21:53:02.3</t>
  </si>
  <si>
    <t xml:space="preserve">Freq BW is.......:9.75  KHz</t>
  </si>
  <si>
    <t xml:space="preserve">Dec J2000 (deg) = 21.8839722222222</t>
  </si>
  <si>
    <t xml:space="preserve">Required opt.BW ..1.00240867471 KHz</t>
  </si>
  <si>
    <t xml:space="preserve">Tracking? = False</t>
  </si>
  <si>
    <t xml:space="preserve">Azimuth (deg) = 0</t>
  </si>
  <si>
    <t xml:space="preserve">Zenith Ang (deg) = 0</t>
  </si>
  <si>
    <t xml:space="preserve">Polarization type = LIN</t>
  </si>
  <si>
    <t xml:space="preserve">Number of polns = 2 (summed)</t>
  </si>
  <si>
    <t xml:space="preserve">Polarization order = AA+BB</t>
  </si>
  <si>
    <t xml:space="preserve">Sample time (us) = 417.959183673468</t>
  </si>
  <si>
    <t xml:space="preserve">Central freq (MHz) = 57.1499999653548</t>
  </si>
  <si>
    <t xml:space="preserve">Low channel (MHz) = 25.5440425872803</t>
  </si>
  <si>
    <t xml:space="preserve">High channel (MHz) = 88.7463836669922</t>
  </si>
  <si>
    <t xml:space="preserve">Channel width (MHz) = 0.49765622897411</t>
  </si>
  <si>
    <t xml:space="preserve">Number of channels = 128</t>
  </si>
  <si>
    <t xml:space="preserve">Orig Channel width (MHz) = 0.0095703125</t>
  </si>
  <si>
    <t xml:space="preserve">Orig Number of channels = 6656</t>
  </si>
  <si>
    <t xml:space="preserve">DM used for chan dedisp = 12.43714</t>
  </si>
  <si>
    <t xml:space="preserve">Total Bandwidth (MHz) = 63.699997308686</t>
  </si>
  <si>
    <t xml:space="preserve">Beam = 0 of 1</t>
  </si>
  <si>
    <t xml:space="preserve">Beam FWHM (deg) = 0.000</t>
  </si>
  <si>
    <t xml:space="preserve">Spectra per subint = 8192</t>
  </si>
  <si>
    <t xml:space="preserve">Starting subint = 0</t>
  </si>
  <si>
    <t xml:space="preserve">Subints per file = 526</t>
  </si>
  <si>
    <t xml:space="preserve">Spectra per file = 4308992</t>
  </si>
  <si>
    <t xml:space="preserve">Time per subint (sec) = 3.42392163265</t>
  </si>
  <si>
    <t xml:space="preserve">Time per file (sec) = 1800.98277878</t>
  </si>
  <si>
    <t xml:space="preserve">bits per sample = 8</t>
  </si>
  <si>
    <t xml:space="preserve">Are bytes signed? = True</t>
  </si>
  <si>
    <t xml:space="preserve">bytes per spectra = 128</t>
  </si>
  <si>
    <t xml:space="preserve">samples per spectra = 128</t>
  </si>
  <si>
    <t xml:space="preserve">bytes per subint = 1048576</t>
  </si>
  <si>
    <t xml:space="preserve">samples per subint = 1048576</t>
  </si>
  <si>
    <t xml:space="preserve">zero offset = 0</t>
  </si>
  <si>
    <t xml:space="preserve">Invert the band? = False</t>
  </si>
  <si>
    <t xml:space="preserve">PSRFITS Specific info:</t>
  </si>
  <si>
    <t xml:space="preserve">HDUs = primary, SUBINT</t>
  </si>
  <si>
    <t xml:space="preserve">FITS typecode = 11</t>
  </si>
  <si>
    <t xml:space="preserve">DATA column = 17</t>
  </si>
  <si>
    <t xml:space="preserve">Apply scaling? = True</t>
  </si>
  <si>
    <t xml:space="preserve">Apply offsets? = True</t>
  </si>
  <si>
    <t xml:space="preserve">Apply weights? = True</t>
  </si>
  <si>
    <t xml:space="preserve">https://iopscience.iop.org/article/10.1086/133935/pdf</t>
  </si>
  <si>
    <t xml:space="preserve">A WIDE BANDWIDTH DIGITAL RECORDING SYSTEM FOR RADIO PULSAR ASTRONOMY</t>
  </si>
  <si>
    <t xml:space="preserve">http://dspace.rri.res.in/bitstream/2289/3318/11/Chapter%202%20%26%203.pdf</t>
  </si>
  <si>
    <t xml:space="preserve">Other Desh student thesis was restricted to download.</t>
  </si>
  <si>
    <t xml:space="preserve">PULSAR OBSERVATIONS USING THE FIRST STATION OF THE LONG WAVELENGTH</t>
  </si>
  <si>
    <t xml:space="preserve">ARRAY AND THE LWA PULSAR DATA ARCHIVE</t>
  </si>
  <si>
    <t xml:space="preserve">https://arxiv.org/pdf/1410.7422.pdf</t>
  </si>
  <si>
    <t xml:space="preserve">Finding pulsars with LOFAR</t>
  </si>
  <si>
    <t xml:space="preserve">https://www.aanda.org/articles/aa/pdf/2010/01/aa13121-09.pdf</t>
  </si>
  <si>
    <t xml:space="preserve">https://www.worldscientific.com/doi/pdf/10.1142/S2251171716410105</t>
  </si>
  <si>
    <t xml:space="preserve">https://hal-insu.archives-ouvertes.fr/insu-01258465/file/MNRAS-2013-Zakharenko-3624-41.pdf</t>
  </si>
  <si>
    <t xml:space="preserve">LBAND calculations</t>
  </si>
  <si>
    <t xml:space="preserve">http://www.naic.edu/~phil/hardware/pdev/tests/timeDomain_mock_psr.html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</si>
</sst>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E+00"/>
    <numFmt numFmtId="166" formatCode="#,##0.0000"/>
    <numFmt numFmtId="167" formatCode="#,##0.00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2"/>
      <name val="Courier New"/>
      <family val="0"/>
      <charset val="1"/>
    </font>
    <font>
      <sz val="11"/>
      <color rgb="FFFF0000"/>
      <name val="Cambria"/>
      <family val="0"/>
      <charset val="1"/>
    </font>
    <font>
      <b val="true"/>
      <sz val="12"/>
      <name val="Courier New"/>
      <family val="0"/>
      <charset val="1"/>
    </font>
    <font>
      <sz val="10"/>
      <color rgb="FF000000"/>
      <name val="Roboto"/>
      <family val="2"/>
    </font>
    <font>
      <u val="single"/>
      <sz val="11"/>
      <color rgb="FF0000FF"/>
      <name val="Cambria"/>
      <family val="0"/>
      <charset val="1"/>
    </font>
    <font>
      <sz val="11"/>
      <color rgb="FF333333"/>
      <name val="Franklin-gothic-urw-cond"/>
      <family val="0"/>
      <charset val="1"/>
    </font>
    <font>
      <u val="single"/>
      <sz val="9"/>
      <color rgb="FF333333"/>
      <name val="Monospace"/>
      <family val="0"/>
      <charset val="1"/>
    </font>
    <font>
      <sz val="9"/>
      <color rgb="FF333333"/>
      <name val="Monospace"/>
      <family val="0"/>
      <charset val="1"/>
    </font>
    <font>
      <u val="single"/>
      <sz val="9"/>
      <color rgb="FF0186BA"/>
      <name val="Monospace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9DAF8"/>
      </patternFill>
    </fill>
    <fill>
      <patternFill patternType="solid">
        <fgColor rgb="FFF4CCCC"/>
        <bgColor rgb="FFD9D9D9"/>
      </patternFill>
    </fill>
    <fill>
      <patternFill patternType="solid">
        <fgColor rgb="FFB6D7A8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FE2F3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86BA"/>
      <rgbColor rgb="FFB7B7B7"/>
      <rgbColor rgb="FF808080"/>
      <rgbColor rgb="FF9999FF"/>
      <rgbColor rgb="FF993366"/>
      <rgbColor rgb="FFFFFFCC"/>
      <rgbColor rgb="FFCFE2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B7E1CD"/>
      <rgbColor rgb="FFFFFF99"/>
      <rgbColor rgb="FFB6D7A8"/>
      <rgbColor rgb="FFFF99CC"/>
      <rgbColor rgb="FFCC99FF"/>
      <rgbColor rgb="FFF4CCCC"/>
      <rgbColor rgb="FF4285F4"/>
      <rgbColor rgb="FF33CCCC"/>
      <rgbColor rgb="FF99CC00"/>
      <rgbColor rgb="FFF4B400"/>
      <rgbColor rgb="FFFF9900"/>
      <rgbColor rgb="FFDB4437"/>
      <rgbColor rgb="FF666699"/>
      <rgbColor rgb="FF969696"/>
      <rgbColor rgb="FF003366"/>
      <rgbColor rgb="FF0F9D58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'RAWS DM'!$F$8:$F$9</c:f>
              <c:numCache>
                <c:formatCode>General</c:formatCode>
                <c:ptCount val="2"/>
                <c:pt idx="0">
                  <c:v>0.0002854420384</c:v>
                </c:pt>
                <c:pt idx="1">
                  <c:v>3503.33821046592</c:v>
                </c:pt>
              </c:numCache>
            </c:numRef>
          </c:val>
        </c:ser>
        <c:ser>
          <c:idx val="1"/>
          <c:order val="1"/>
          <c:spPr>
            <a:solidFill>
              <a:srgbClr val="db443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'RAWS DM'!$G$8:$G$9</c:f>
              <c:numCache>
                <c:formatCode>General</c:formatCode>
                <c:ptCount val="2"/>
                <c:pt idx="0">
                  <c:v>0.0001912238656</c:v>
                </c:pt>
                <c:pt idx="1">
                  <c:v>5229.47277978257</c:v>
                </c:pt>
              </c:numCache>
            </c:numRef>
          </c:val>
        </c:ser>
        <c:ser>
          <c:idx val="2"/>
          <c:order val="2"/>
          <c:spPr>
            <a:solidFill>
              <a:srgbClr val="f4b4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'RAWS DM'!$H$8:$H$9</c:f>
              <c:numCache>
                <c:formatCode>General</c:formatCode>
                <c:ptCount val="2"/>
                <c:pt idx="0">
                  <c:v>0.0001699973202</c:v>
                </c:pt>
                <c:pt idx="1">
                  <c:v>5882.44566928179</c:v>
                </c:pt>
              </c:numCache>
            </c:numRef>
          </c:val>
        </c:ser>
        <c:ser>
          <c:idx val="3"/>
          <c:order val="3"/>
          <c:spPr>
            <a:solidFill>
              <a:srgbClr val="0f9d5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'RAWS DM'!$I$8:$I$9</c:f>
              <c:numCache>
                <c:formatCode>General</c:formatCode>
                <c:ptCount val="2"/>
                <c:pt idx="0">
                  <c:v>9.790661919E-005</c:v>
                </c:pt>
                <c:pt idx="1">
                  <c:v>10213.8140227207</c:v>
                </c:pt>
              </c:numCache>
            </c:numRef>
          </c:val>
        </c:ser>
        <c:gapWidth val="150"/>
        <c:overlap val="0"/>
        <c:axId val="49069292"/>
        <c:axId val="15141889"/>
      </c:barChart>
      <c:catAx>
        <c:axId val="490692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Roboto"/>
              </a:defRPr>
            </a:pPr>
          </a:p>
        </c:txPr>
        <c:crossAx val="15141889"/>
        <c:crosses val="autoZero"/>
        <c:auto val="1"/>
        <c:lblAlgn val="ctr"/>
        <c:lblOffset val="100"/>
        <c:noMultiLvlLbl val="0"/>
      </c:catAx>
      <c:valAx>
        <c:axId val="15141889"/>
        <c:scaling>
          <c:orientation val="minMax"/>
        </c:scaling>
        <c:delete val="0"/>
        <c:axPos val="l"/>
        <c:majorGridlines>
          <c:spPr>
            <a:ln w="0">
              <a:solidFill>
                <a:srgbClr val="b7b7b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Roboto"/>
              </a:defRPr>
            </a:pPr>
          </a:p>
        </c:txPr>
        <c:crossAx val="490692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Roboto"/>
            </a:defRPr>
          </a:pPr>
        </a:p>
      </c:txPr>
    </c:legend>
    <c:plotVisOnly val="1"/>
    <c:dispBlanksAs val="zero"/>
  </c:chart>
  <c:spPr>
    <a:noFill/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checkDDPlan!$F$8:$F$9</c:f>
              <c:numCache>
                <c:formatCode>General</c:formatCode>
                <c:ptCount val="2"/>
                <c:pt idx="0">
                  <c:v>0.001667608261</c:v>
                </c:pt>
                <c:pt idx="1">
                  <c:v>599.661217437445</c:v>
                </c:pt>
              </c:numCache>
            </c:numRef>
          </c:val>
        </c:ser>
        <c:ser>
          <c:idx val="1"/>
          <c:order val="1"/>
          <c:spPr>
            <a:solidFill>
              <a:srgbClr val="db443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checkDDPlan!$G$8:$G$9</c:f>
              <c:numCache>
                <c:formatCode>General</c:formatCode>
                <c:ptCount val="2"/>
                <c:pt idx="0">
                  <c:v>0.001501896501</c:v>
                </c:pt>
                <c:pt idx="1">
                  <c:v>665.824841681284</c:v>
                </c:pt>
              </c:numCache>
            </c:numRef>
          </c:val>
        </c:ser>
        <c:ser>
          <c:idx val="2"/>
          <c:order val="2"/>
          <c:spPr>
            <a:solidFill>
              <a:srgbClr val="f4b4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checkDDPlan!$H$8:$H$9</c:f>
              <c:numCache>
                <c:formatCode>General</c:formatCode>
                <c:ptCount val="2"/>
                <c:pt idx="0">
                  <c:v>0.001357433075</c:v>
                </c:pt>
                <c:pt idx="1">
                  <c:v>736.684569145333</c:v>
                </c:pt>
              </c:numCache>
            </c:numRef>
          </c:val>
        </c:ser>
        <c:ser>
          <c:idx val="3"/>
          <c:order val="3"/>
          <c:spPr>
            <a:solidFill>
              <a:srgbClr val="0f9d5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checkDDPlan!$I$8:$I$9</c:f>
              <c:numCache>
                <c:formatCode>General</c:formatCode>
                <c:ptCount val="2"/>
                <c:pt idx="0">
                  <c:v>0.004072299226</c:v>
                </c:pt>
                <c:pt idx="1">
                  <c:v>245.561522988144</c:v>
                </c:pt>
              </c:numCache>
            </c:numRef>
          </c:val>
        </c:ser>
        <c:gapWidth val="150"/>
        <c:overlap val="0"/>
        <c:axId val="22605876"/>
        <c:axId val="62220201"/>
      </c:barChart>
      <c:catAx>
        <c:axId val="226058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Roboto"/>
              </a:defRPr>
            </a:pPr>
          </a:p>
        </c:txPr>
        <c:crossAx val="62220201"/>
        <c:crosses val="autoZero"/>
        <c:auto val="1"/>
        <c:lblAlgn val="ctr"/>
        <c:lblOffset val="100"/>
        <c:noMultiLvlLbl val="0"/>
      </c:catAx>
      <c:valAx>
        <c:axId val="62220201"/>
        <c:scaling>
          <c:orientation val="minMax"/>
        </c:scaling>
        <c:delete val="0"/>
        <c:axPos val="l"/>
        <c:majorGridlines>
          <c:spPr>
            <a:ln w="0">
              <a:solidFill>
                <a:srgbClr val="b7b7b7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Roboto"/>
              </a:defRPr>
            </a:pPr>
          </a:p>
        </c:txPr>
        <c:crossAx val="226058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Roboto"/>
            </a:defRPr>
          </a:pPr>
        </a:p>
      </c:txPr>
    </c:legend>
    <c:plotVisOnly val="1"/>
    <c:dispBlanksAs val="zero"/>
  </c:chart>
  <c:spPr>
    <a:noFill/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32760</xdr:colOff>
      <xdr:row>9</xdr:row>
      <xdr:rowOff>76320</xdr:rowOff>
    </xdr:from>
    <xdr:to>
      <xdr:col>9</xdr:col>
      <xdr:colOff>278640</xdr:colOff>
      <xdr:row>15</xdr:row>
      <xdr:rowOff>190440</xdr:rowOff>
    </xdr:to>
    <xdr:graphicFrame>
      <xdr:nvGraphicFramePr>
        <xdr:cNvPr id="0" name="Chart 2"/>
        <xdr:cNvGraphicFramePr/>
      </xdr:nvGraphicFramePr>
      <xdr:xfrm>
        <a:off x="4619520" y="1876680"/>
        <a:ext cx="3809520" cy="131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9360</xdr:colOff>
      <xdr:row>10</xdr:row>
      <xdr:rowOff>19080</xdr:rowOff>
    </xdr:from>
    <xdr:to>
      <xdr:col>9</xdr:col>
      <xdr:colOff>255240</xdr:colOff>
      <xdr:row>16</xdr:row>
      <xdr:rowOff>132840</xdr:rowOff>
    </xdr:to>
    <xdr:graphicFrame>
      <xdr:nvGraphicFramePr>
        <xdr:cNvPr id="1" name="Chart 3"/>
        <xdr:cNvGraphicFramePr/>
      </xdr:nvGraphicFramePr>
      <xdr:xfrm>
        <a:off x="4596120" y="2019240"/>
        <a:ext cx="3809520" cy="131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iopscience.iop.org/article/10.1086/133935/pdf" TargetMode="External"/><Relationship Id="rId2" Type="http://schemas.openxmlformats.org/officeDocument/2006/relationships/hyperlink" Target="http://dspace.rri.res.in/bitstream/2289/3318/11/Chapter%202%20%26%203.pdf" TargetMode="External"/><Relationship Id="rId3" Type="http://schemas.openxmlformats.org/officeDocument/2006/relationships/hyperlink" Target="https://arxiv.org/pdf/1410.7422.pdf" TargetMode="External"/><Relationship Id="rId4" Type="http://schemas.openxmlformats.org/officeDocument/2006/relationships/hyperlink" Target="https://www.aanda.org/articles/aa/pdf/2010/01/aa13121-09.pdf" TargetMode="External"/><Relationship Id="rId5" Type="http://schemas.openxmlformats.org/officeDocument/2006/relationships/hyperlink" Target="https://www.worldscientific.com/doi/pdf/10.1142/S2251171716410105" TargetMode="External"/><Relationship Id="rId6" Type="http://schemas.openxmlformats.org/officeDocument/2006/relationships/hyperlink" Target="https://hal-insu.archives-ouvertes.fr/insu-01258465/file/MNRAS-2013-Zakharenko-3624-41.pdf" TargetMode="External"/><Relationship Id="rId7" Type="http://schemas.openxmlformats.org/officeDocument/2006/relationships/hyperlink" Target="http://www.naic.edu/~phil/hardware/pdev/tests/timeDomain_mock_psr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0.42"/>
    <col collapsed="false" customWidth="true" hidden="false" outlineLevel="0" max="1024" min="1014" style="0" width="11.52"/>
  </cols>
  <sheetData>
    <row r="1" customFormat="false" ht="28.35" hidden="false" customHeight="false" outlineLevel="0" collapsed="false">
      <c r="A1" s="1" t="s">
        <v>0</v>
      </c>
    </row>
    <row r="2" customFormat="false" ht="15" hidden="false" customHeight="false" outlineLevel="0" collapsed="false">
      <c r="B2" s="2" t="s">
        <v>1</v>
      </c>
      <c r="C2" s="3"/>
    </row>
    <row r="3" customFormat="false" ht="15" hidden="false" customHeight="false" outlineLevel="0" collapsed="false">
      <c r="B3" s="4" t="s">
        <v>2</v>
      </c>
      <c r="C3" s="5" t="n">
        <v>57</v>
      </c>
      <c r="D3" s="6" t="s">
        <v>3</v>
      </c>
    </row>
    <row r="4" customFormat="false" ht="13.8" hidden="false" customHeight="false" outlineLevel="0" collapsed="false">
      <c r="B4" s="7" t="s">
        <v>4</v>
      </c>
      <c r="C4" s="8" t="n">
        <v>4149000</v>
      </c>
      <c r="D4" s="6" t="n">
        <v>4.148808</v>
      </c>
    </row>
    <row r="5" customFormat="false" ht="13.8" hidden="false" customHeight="false" outlineLevel="0" collapsed="false">
      <c r="B5" s="9" t="s">
        <v>5</v>
      </c>
      <c r="C5" s="9" t="n">
        <v>162</v>
      </c>
      <c r="D5" s="6" t="s">
        <v>6</v>
      </c>
    </row>
    <row r="6" customFormat="false" ht="13.8" hidden="false" customHeight="false" outlineLevel="0" collapsed="false">
      <c r="B6" s="9" t="s">
        <v>7</v>
      </c>
      <c r="C6" s="9" t="n">
        <v>178</v>
      </c>
      <c r="D6" s="6" t="s">
        <v>6</v>
      </c>
    </row>
    <row r="7" customFormat="false" ht="13.8" hidden="false" customHeight="false" outlineLevel="0" collapsed="false">
      <c r="B7" s="9" t="s">
        <v>8</v>
      </c>
      <c r="C7" s="9" t="n">
        <f aca="false">C6-C5</f>
        <v>16</v>
      </c>
      <c r="D7" s="6" t="s">
        <v>6</v>
      </c>
    </row>
    <row r="8" customFormat="false" ht="13.8" hidden="false" customHeight="false" outlineLevel="0" collapsed="false">
      <c r="B8" s="3"/>
      <c r="C8" s="3"/>
    </row>
    <row r="9" customFormat="false" ht="13.8" hidden="false" customHeight="false" outlineLevel="0" collapsed="false">
      <c r="A9" s="6" t="s">
        <v>9</v>
      </c>
      <c r="B9" s="9" t="s">
        <v>10</v>
      </c>
      <c r="C9" s="10" t="n">
        <f aca="false">C4*C3*(1/C5^2 -1/C6^2)</f>
        <v>1547.202493</v>
      </c>
      <c r="D9" s="6" t="s">
        <v>11</v>
      </c>
    </row>
    <row r="10" customFormat="false" ht="13.8" hidden="false" customHeight="false" outlineLevel="0" collapsed="false">
      <c r="B10" s="2" t="s">
        <v>12</v>
      </c>
      <c r="C10" s="11" t="n">
        <f aca="false">C9/1000</f>
        <v>1.547202493</v>
      </c>
      <c r="D10" s="6" t="s">
        <v>13</v>
      </c>
    </row>
    <row r="11" customFormat="false" ht="13.8" hidden="false" customHeight="false" outlineLevel="0" collapsed="false">
      <c r="E11" s="6"/>
    </row>
    <row r="12" customFormat="false" ht="12.8" hidden="false" customHeight="false" outlineLevel="0" collapsed="false"/>
    <row r="13" customFormat="false" ht="12.8" hidden="false" customHeight="false" outlineLevel="0" collapsed="false"/>
    <row r="14" customFormat="false" ht="12.8" hidden="false" customHeight="false" outlineLevel="0" collapsed="false"/>
    <row r="15" customFormat="false" ht="12.8" hidden="false" customHeight="false" outlineLevel="0" collapsed="false"/>
    <row r="16" customFormat="false" ht="12.8" hidden="false" customHeight="false" outlineLevel="0" collapsed="false"/>
    <row r="17" customFormat="false" ht="28.35" hidden="false" customHeight="false" outlineLevel="0" collapsed="false">
      <c r="A17" s="1" t="s">
        <v>14</v>
      </c>
    </row>
    <row r="18" s="5" customFormat="true" ht="15.75" hidden="false" customHeight="false" outlineLevel="0" collapsed="false">
      <c r="A18" s="5" t="s">
        <v>15</v>
      </c>
    </row>
    <row r="19" customFormat="false" ht="12.8" hidden="false" customHeight="false" outlineLevel="0" collapsed="false"/>
    <row r="20" customFormat="false" ht="12.8" hidden="false" customHeight="false" outlineLevel="0" collapsed="false"/>
    <row r="21" customFormat="false" ht="12.8" hidden="false" customHeight="false" outlineLevel="0" collapsed="false"/>
    <row r="22" customFormat="false" ht="12.8" hidden="false" customHeight="false" outlineLevel="0" collapsed="false"/>
    <row r="23" customFormat="false" ht="12.8" hidden="false" customHeight="false" outlineLevel="0" collapsed="false"/>
    <row r="24" customFormat="false" ht="12.8" hidden="false" customHeight="false" outlineLevel="0" collapsed="false"/>
    <row r="25" customFormat="false" ht="12.8" hidden="false" customHeight="false" outlineLevel="0" collapsed="false"/>
    <row r="26" customFormat="false" ht="12.8" hidden="false" customHeight="false" outlineLevel="0" collapsed="false"/>
    <row r="27" customFormat="false" ht="12.8" hidden="false" customHeight="false" outlineLevel="0" collapsed="false"/>
    <row r="28" customFormat="false" ht="12.8" hidden="false" customHeight="false" outlineLevel="0" collapsed="false"/>
    <row r="29" customFormat="false" ht="13.8" hidden="false" customHeight="false" outlineLevel="0" collapsed="false">
      <c r="E29" s="6"/>
    </row>
    <row r="30" customFormat="false" ht="12.8" hidden="false" customHeight="false" outlineLevel="0" collapsed="false"/>
    <row r="31" customFormat="false" ht="12.8" hidden="false" customHeight="false" outlineLevel="0" collapsed="false"/>
    <row r="32" customFormat="false" ht="12.8" hidden="false" customHeight="false" outlineLevel="0" collapsed="false"/>
    <row r="33" customFormat="false" ht="12.8" hidden="false" customHeight="false" outlineLevel="0" collapsed="false"/>
    <row r="34" customFormat="false" ht="12.8" hidden="false" customHeight="false" outlineLevel="0" collapsed="false"/>
    <row r="35" customFormat="false" ht="12.8" hidden="false" customHeight="false" outlineLevel="0" collapsed="false"/>
    <row r="36" customFormat="false" ht="12.8" hidden="false" customHeight="false" outlineLevel="0" collapsed="false"/>
    <row r="37" customFormat="false" ht="12.8" hidden="false" customHeight="false" outlineLevel="0" collapsed="false"/>
    <row r="38" customFormat="false" ht="12.8" hidden="false" customHeight="false" outlineLevel="0" collapsed="false"/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  <row r="65" customFormat="false" ht="12.8" hidden="false" customHeight="false" outlineLevel="0" collapsed="false"/>
    <row r="66" customFormat="false" ht="12.8" hidden="false" customHeight="false" outlineLevel="0" collapsed="false"/>
    <row r="67" customFormat="false" ht="12.8" hidden="false" customHeight="false" outlineLevel="0" collapsed="false"/>
    <row r="68" customFormat="false" ht="12.8" hidden="false" customHeight="false" outlineLevel="0" collapsed="false"/>
    <row r="69" customFormat="false" ht="12.8" hidden="false" customHeight="fals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18:1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4.5"/>
  </cols>
  <sheetData>
    <row r="1" customFormat="false" ht="15.75" hidden="false" customHeight="false" outlineLevel="0" collapsed="false">
      <c r="A1" s="1" t="s">
        <v>0</v>
      </c>
    </row>
    <row r="2" customFormat="false" ht="15.75" hidden="false" customHeight="false" outlineLevel="0" collapsed="false">
      <c r="B2" s="2" t="s">
        <v>1</v>
      </c>
      <c r="C2" s="3"/>
      <c r="K2" s="5" t="s">
        <v>16</v>
      </c>
    </row>
    <row r="3" customFormat="false" ht="15.75" hidden="false" customHeight="false" outlineLevel="0" collapsed="false">
      <c r="B3" s="4" t="s">
        <v>2</v>
      </c>
      <c r="C3" s="5" t="n">
        <v>2.9</v>
      </c>
      <c r="D3" s="6" t="s">
        <v>3</v>
      </c>
      <c r="E3" s="12" t="s">
        <v>17</v>
      </c>
      <c r="F3" s="13"/>
      <c r="G3" s="13"/>
      <c r="H3" s="13"/>
      <c r="I3" s="13"/>
      <c r="K3" s="5" t="s">
        <v>18</v>
      </c>
    </row>
    <row r="4" customFormat="false" ht="15.75" hidden="false" customHeight="false" outlineLevel="0" collapsed="false">
      <c r="B4" s="7" t="s">
        <v>4</v>
      </c>
      <c r="C4" s="8" t="n">
        <v>4149000</v>
      </c>
      <c r="D4" s="6" t="n">
        <v>4.148808</v>
      </c>
      <c r="E4" s="13"/>
      <c r="F4" s="14" t="s">
        <v>19</v>
      </c>
      <c r="G4" s="14" t="s">
        <v>20</v>
      </c>
      <c r="H4" s="14" t="s">
        <v>21</v>
      </c>
      <c r="I4" s="14" t="s">
        <v>22</v>
      </c>
      <c r="K4" s="5" t="s">
        <v>23</v>
      </c>
    </row>
    <row r="5" customFormat="false" ht="15.75" hidden="false" customHeight="false" outlineLevel="0" collapsed="false">
      <c r="B5" s="9" t="s">
        <v>5</v>
      </c>
      <c r="C5" s="9" t="n">
        <v>166.75</v>
      </c>
      <c r="D5" s="6" t="s">
        <v>6</v>
      </c>
      <c r="E5" s="15" t="s">
        <v>24</v>
      </c>
      <c r="F5" s="15" t="n">
        <v>175</v>
      </c>
      <c r="G5" s="15" t="n">
        <v>200</v>
      </c>
      <c r="H5" s="15" t="n">
        <v>208</v>
      </c>
      <c r="I5" s="15" t="n">
        <v>250</v>
      </c>
      <c r="K5" s="5" t="s">
        <v>25</v>
      </c>
    </row>
    <row r="6" customFormat="false" ht="15.75" hidden="false" customHeight="false" outlineLevel="0" collapsed="false">
      <c r="B6" s="9" t="s">
        <v>7</v>
      </c>
      <c r="C6" s="9" t="n">
        <v>183.25</v>
      </c>
      <c r="D6" s="6" t="s">
        <v>6</v>
      </c>
      <c r="E6" s="15" t="s">
        <v>8</v>
      </c>
      <c r="F6" s="15" t="n">
        <v>0.064</v>
      </c>
      <c r="G6" s="15" t="n">
        <v>0.064</v>
      </c>
      <c r="H6" s="15" t="n">
        <v>0.064</v>
      </c>
      <c r="I6" s="15" t="n">
        <v>0.064</v>
      </c>
      <c r="K6" s="5" t="s">
        <v>26</v>
      </c>
    </row>
    <row r="7" customFormat="false" ht="15.75" hidden="false" customHeight="false" outlineLevel="0" collapsed="false">
      <c r="B7" s="9" t="s">
        <v>8</v>
      </c>
      <c r="C7" s="9" t="n">
        <f aca="false">C6-C5</f>
        <v>16.5</v>
      </c>
      <c r="D7" s="6" t="s">
        <v>6</v>
      </c>
      <c r="E7" s="15" t="s">
        <v>27</v>
      </c>
      <c r="F7" s="13" t="n">
        <f aca="false">((202/F5)^3)*C3*F6</f>
        <v>0.2854420384</v>
      </c>
      <c r="G7" s="13" t="n">
        <f aca="false">((202/G5)^3)*C3*G6</f>
        <v>0.1912238656</v>
      </c>
      <c r="H7" s="13" t="n">
        <f aca="false">((202/H5)^3)*C3*H6</f>
        <v>0.1699973202</v>
      </c>
      <c r="I7" s="13" t="n">
        <f aca="false">((202/I5)^3)*C3*I6</f>
        <v>0.09790661919</v>
      </c>
      <c r="K7" s="5" t="s">
        <v>28</v>
      </c>
    </row>
    <row r="8" customFormat="false" ht="15.75" hidden="false" customHeight="false" outlineLevel="0" collapsed="false">
      <c r="B8" s="3"/>
      <c r="C8" s="3"/>
      <c r="E8" s="15" t="s">
        <v>29</v>
      </c>
      <c r="F8" s="13" t="n">
        <f aca="false">F7/1000</f>
        <v>0.0002854420384</v>
      </c>
      <c r="G8" s="13" t="n">
        <f aca="false">G7/1000</f>
        <v>0.0001912238656</v>
      </c>
      <c r="H8" s="13" t="n">
        <f aca="false">H7/1000</f>
        <v>0.0001699973202</v>
      </c>
      <c r="I8" s="13" t="n">
        <f aca="false">I7/1000</f>
        <v>9.790661919E-005</v>
      </c>
      <c r="K8" s="5" t="s">
        <v>30</v>
      </c>
    </row>
    <row r="9" customFormat="false" ht="15.75" hidden="false" customHeight="false" outlineLevel="0" collapsed="false">
      <c r="A9" s="6" t="s">
        <v>9</v>
      </c>
      <c r="B9" s="9" t="s">
        <v>10</v>
      </c>
      <c r="C9" s="10" t="n">
        <f aca="false">C4*C3*(1/C5^2 -1/C6^2)</f>
        <v>74.4172761</v>
      </c>
      <c r="D9" s="6" t="s">
        <v>11</v>
      </c>
      <c r="E9" s="15" t="s">
        <v>31</v>
      </c>
      <c r="F9" s="13" t="n">
        <f aca="false">1/F8</f>
        <v>3503.33821046592</v>
      </c>
      <c r="G9" s="13" t="n">
        <f aca="false">1/G8</f>
        <v>5229.47277978257</v>
      </c>
      <c r="H9" s="13" t="n">
        <f aca="false">1/H8</f>
        <v>5882.44566928179</v>
      </c>
      <c r="I9" s="13" t="n">
        <f aca="false">1/I8</f>
        <v>10213.8140227207</v>
      </c>
    </row>
    <row r="10" customFormat="false" ht="15.75" hidden="false" customHeight="false" outlineLevel="0" collapsed="false">
      <c r="B10" s="2" t="s">
        <v>12</v>
      </c>
      <c r="C10" s="11" t="n">
        <f aca="false">C9/1000</f>
        <v>0.0744172761</v>
      </c>
      <c r="D10" s="6" t="s">
        <v>13</v>
      </c>
      <c r="E10" s="13"/>
      <c r="F10" s="13"/>
      <c r="G10" s="13"/>
      <c r="H10" s="13"/>
      <c r="I10" s="13"/>
    </row>
    <row r="11" customFormat="false" ht="15.75" hidden="false" customHeight="false" outlineLevel="0" collapsed="false">
      <c r="E11" s="13"/>
      <c r="F11" s="13"/>
      <c r="G11" s="13"/>
      <c r="H11" s="13"/>
      <c r="I11" s="13"/>
      <c r="K11" s="6" t="s">
        <v>32</v>
      </c>
      <c r="L11" s="16" t="s">
        <v>33</v>
      </c>
      <c r="M11" s="5" t="s">
        <v>34</v>
      </c>
      <c r="N11" s="17" t="s">
        <v>35</v>
      </c>
      <c r="P11" s="6" t="s">
        <v>36</v>
      </c>
    </row>
    <row r="12" customFormat="false" ht="15.75" hidden="false" customHeight="false" outlineLevel="0" collapsed="false">
      <c r="E12" s="13"/>
      <c r="F12" s="13"/>
      <c r="G12" s="13"/>
      <c r="H12" s="13"/>
      <c r="I12" s="13"/>
      <c r="K12" s="6" t="s">
        <v>37</v>
      </c>
      <c r="L12" s="18" t="n">
        <v>1.187913065936</v>
      </c>
      <c r="M12" s="5" t="n">
        <v>1.2165</v>
      </c>
      <c r="N12" s="17" t="n">
        <v>3.31400150122</v>
      </c>
    </row>
    <row r="13" customFormat="false" ht="15.75" hidden="false" customHeight="false" outlineLevel="0" collapsed="false">
      <c r="B13" s="0" t="n">
        <f aca="false">2.88*(C3)^0.5*F6*(F5/1000)^-1.5</f>
        <v>4.287601238</v>
      </c>
      <c r="E13" s="13"/>
      <c r="F13" s="13"/>
      <c r="G13" s="13"/>
      <c r="H13" s="13"/>
      <c r="I13" s="13"/>
      <c r="K13" s="6" t="s">
        <v>38</v>
      </c>
      <c r="L13" s="18" t="n">
        <v>4.84066</v>
      </c>
      <c r="M13" s="6" t="n">
        <v>5</v>
      </c>
      <c r="N13" s="17" t="n">
        <v>3.2603</v>
      </c>
    </row>
    <row r="14" customFormat="false" ht="15.75" hidden="false" customHeight="false" outlineLevel="0" collapsed="false">
      <c r="E14" s="13"/>
      <c r="F14" s="13"/>
      <c r="G14" s="13"/>
      <c r="H14" s="13"/>
      <c r="I14" s="13"/>
      <c r="K14" s="6" t="s">
        <v>39</v>
      </c>
      <c r="L14" s="18" t="n">
        <v>257</v>
      </c>
      <c r="M14" s="19" t="s">
        <v>40</v>
      </c>
      <c r="N14" s="17" t="n">
        <v>1.3</v>
      </c>
    </row>
    <row r="15" customFormat="false" ht="15.75" hidden="false" customHeight="false" outlineLevel="0" collapsed="false">
      <c r="E15" s="13"/>
      <c r="F15" s="13"/>
      <c r="G15" s="13"/>
      <c r="H15" s="13"/>
      <c r="I15" s="13"/>
    </row>
    <row r="16" customFormat="false" ht="15.75" hidden="false" customHeight="false" outlineLevel="0" collapsed="false">
      <c r="E16" s="13"/>
      <c r="F16" s="13"/>
      <c r="G16" s="13"/>
      <c r="H16" s="13"/>
      <c r="I16" s="13"/>
    </row>
    <row r="17" customFormat="false" ht="15.75" hidden="false" customHeight="false" outlineLevel="0" collapsed="false">
      <c r="A17" s="1" t="s">
        <v>41</v>
      </c>
    </row>
    <row r="18" customFormat="false" ht="15.75" hidden="false" customHeight="false" outlineLevel="0" collapsed="false">
      <c r="A18" s="1" t="s">
        <v>14</v>
      </c>
    </row>
    <row r="19" customFormat="false" ht="15.75" hidden="false" customHeight="false" outlineLevel="0" collapsed="false">
      <c r="A19" s="5" t="s">
        <v>15</v>
      </c>
    </row>
    <row r="20" customFormat="false" ht="15.75" hidden="false" customHeight="false" outlineLevel="0" collapsed="false">
      <c r="B20" s="2" t="s">
        <v>1</v>
      </c>
      <c r="C20" s="3"/>
      <c r="M20" s="6" t="s">
        <v>42</v>
      </c>
    </row>
    <row r="21" customFormat="false" ht="15.75" hidden="false" customHeight="false" outlineLevel="0" collapsed="false">
      <c r="B21" s="9" t="s">
        <v>2</v>
      </c>
      <c r="C21" s="9" t="n">
        <v>70</v>
      </c>
      <c r="M21" s="6" t="s">
        <v>43</v>
      </c>
    </row>
    <row r="22" customFormat="false" ht="15.75" hidden="false" customHeight="false" outlineLevel="0" collapsed="false">
      <c r="B22" s="9" t="s">
        <v>4</v>
      </c>
      <c r="C22" s="20" t="n">
        <v>4149000</v>
      </c>
      <c r="M22" s="6" t="s">
        <v>44</v>
      </c>
    </row>
    <row r="23" customFormat="false" ht="15.75" hidden="false" customHeight="false" outlineLevel="0" collapsed="false">
      <c r="B23" s="9" t="s">
        <v>5</v>
      </c>
      <c r="C23" s="9" t="n">
        <v>200</v>
      </c>
      <c r="F23" s="6" t="s">
        <v>45</v>
      </c>
    </row>
    <row r="24" customFormat="false" ht="15.75" hidden="false" customHeight="false" outlineLevel="0" collapsed="false">
      <c r="B24" s="9" t="s">
        <v>7</v>
      </c>
      <c r="C24" s="9" t="n">
        <v>210</v>
      </c>
      <c r="F24" s="6" t="s">
        <v>46</v>
      </c>
      <c r="M24" s="6" t="s">
        <v>47</v>
      </c>
    </row>
    <row r="25" customFormat="false" ht="15.75" hidden="false" customHeight="false" outlineLevel="0" collapsed="false">
      <c r="B25" s="9" t="s">
        <v>8</v>
      </c>
      <c r="C25" s="3" t="n">
        <f aca="false">C24-C23</f>
        <v>10</v>
      </c>
      <c r="M25" s="6" t="s">
        <v>48</v>
      </c>
    </row>
    <row r="26" customFormat="false" ht="15.75" hidden="false" customHeight="false" outlineLevel="0" collapsed="false">
      <c r="B26" s="3"/>
      <c r="C26" s="3"/>
      <c r="F26" s="6" t="s">
        <v>49</v>
      </c>
      <c r="M26" s="6" t="s">
        <v>50</v>
      </c>
    </row>
    <row r="27" customFormat="false" ht="15.75" hidden="false" customHeight="false" outlineLevel="0" collapsed="false">
      <c r="B27" s="9" t="s">
        <v>10</v>
      </c>
      <c r="C27" s="10" t="n">
        <f aca="false">C22*C21*(1/C23^2 -1/C24^2)</f>
        <v>675.0357143</v>
      </c>
      <c r="M27" s="6" t="s">
        <v>51</v>
      </c>
    </row>
    <row r="28" customFormat="false" ht="15.75" hidden="false" customHeight="false" outlineLevel="0" collapsed="false">
      <c r="B28" s="9" t="s">
        <v>12</v>
      </c>
      <c r="C28" s="10" t="n">
        <f aca="false">C27/1000</f>
        <v>0.6750357143</v>
      </c>
      <c r="F28" s="6" t="s">
        <v>52</v>
      </c>
      <c r="M28" s="6" t="s">
        <v>53</v>
      </c>
    </row>
    <row r="29" customFormat="false" ht="15.75" hidden="false" customHeight="false" outlineLevel="0" collapsed="false">
      <c r="F29" s="6" t="s">
        <v>54</v>
      </c>
    </row>
    <row r="30" customFormat="false" ht="15.75" hidden="false" customHeight="false" outlineLevel="0" collapsed="false">
      <c r="F30" s="6" t="s">
        <v>55</v>
      </c>
      <c r="M30" s="21" t="s">
        <v>56</v>
      </c>
      <c r="N30" s="22"/>
      <c r="O30" s="22"/>
    </row>
    <row r="31" customFormat="false" ht="15.75" hidden="false" customHeight="false" outlineLevel="0" collapsed="false">
      <c r="F31" s="6" t="s">
        <v>57</v>
      </c>
      <c r="M31" s="6" t="s">
        <v>58</v>
      </c>
    </row>
    <row r="32" customFormat="false" ht="15.75" hidden="false" customHeight="false" outlineLevel="0" collapsed="false">
      <c r="F32" s="6" t="s">
        <v>59</v>
      </c>
      <c r="M32" s="6" t="s">
        <v>60</v>
      </c>
    </row>
    <row r="33" customFormat="false" ht="15.75" hidden="false" customHeight="false" outlineLevel="0" collapsed="false">
      <c r="F33" s="6" t="s">
        <v>61</v>
      </c>
      <c r="M33" s="6" t="s">
        <v>62</v>
      </c>
    </row>
    <row r="34" customFormat="false" ht="15.75" hidden="false" customHeight="false" outlineLevel="0" collapsed="false">
      <c r="F34" s="6" t="s">
        <v>63</v>
      </c>
    </row>
    <row r="35" customFormat="false" ht="15.75" hidden="false" customHeight="false" outlineLevel="0" collapsed="false">
      <c r="F35" s="6" t="s">
        <v>64</v>
      </c>
    </row>
    <row r="36" customFormat="false" ht="15.75" hidden="false" customHeight="false" outlineLevel="0" collapsed="false">
      <c r="F36" s="6" t="s">
        <v>65</v>
      </c>
    </row>
    <row r="37" customFormat="false" ht="15.75" hidden="false" customHeight="false" outlineLevel="0" collapsed="false">
      <c r="F37" s="6" t="s">
        <v>66</v>
      </c>
    </row>
    <row r="38" customFormat="false" ht="15.75" hidden="false" customHeight="false" outlineLevel="0" collapsed="false">
      <c r="F38" s="6" t="s">
        <v>67</v>
      </c>
    </row>
    <row r="39" customFormat="false" ht="15.75" hidden="false" customHeight="false" outlineLevel="0" collapsed="false">
      <c r="F39" s="6" t="s">
        <v>68</v>
      </c>
      <c r="M39" s="6" t="s">
        <v>69</v>
      </c>
    </row>
    <row r="40" customFormat="false" ht="15.75" hidden="false" customHeight="false" outlineLevel="0" collapsed="false">
      <c r="F40" s="6" t="s">
        <v>70</v>
      </c>
      <c r="M40" s="6" t="s">
        <v>71</v>
      </c>
      <c r="P40" s="6" t="n">
        <f aca="false">1/0.008</f>
        <v>125</v>
      </c>
    </row>
    <row r="41" customFormat="false" ht="15.75" hidden="false" customHeight="false" outlineLevel="0" collapsed="false">
      <c r="F41" s="6" t="s">
        <v>72</v>
      </c>
      <c r="M41" s="6" t="s">
        <v>73</v>
      </c>
    </row>
    <row r="42" customFormat="false" ht="15.75" hidden="false" customHeight="false" outlineLevel="0" collapsed="false">
      <c r="F42" s="6" t="s">
        <v>74</v>
      </c>
    </row>
    <row r="43" customFormat="false" ht="15.75" hidden="false" customHeight="false" outlineLevel="0" collapsed="false">
      <c r="F43" s="6" t="s">
        <v>75</v>
      </c>
    </row>
    <row r="44" customFormat="false" ht="15.75" hidden="false" customHeight="false" outlineLevel="0" collapsed="false">
      <c r="F44" s="6" t="s">
        <v>76</v>
      </c>
    </row>
    <row r="45" customFormat="false" ht="15.75" hidden="false" customHeight="false" outlineLevel="0" collapsed="false">
      <c r="F45" s="6" t="s">
        <v>77</v>
      </c>
    </row>
    <row r="46" customFormat="false" ht="15.75" hidden="false" customHeight="false" outlineLevel="0" collapsed="false">
      <c r="F46" s="6" t="s">
        <v>78</v>
      </c>
    </row>
    <row r="47" customFormat="false" ht="15.75" hidden="false" customHeight="false" outlineLevel="0" collapsed="false">
      <c r="F47" s="6" t="s">
        <v>79</v>
      </c>
    </row>
    <row r="48" customFormat="false" ht="15.75" hidden="false" customHeight="false" outlineLevel="0" collapsed="false">
      <c r="F48" s="6" t="s">
        <v>80</v>
      </c>
    </row>
    <row r="49" customFormat="false" ht="15.75" hidden="false" customHeight="false" outlineLevel="0" collapsed="false">
      <c r="F49" s="6" t="s">
        <v>81</v>
      </c>
    </row>
    <row r="50" customFormat="false" ht="15.75" hidden="false" customHeight="false" outlineLevel="0" collapsed="false">
      <c r="F50" s="6" t="s">
        <v>82</v>
      </c>
    </row>
    <row r="51" customFormat="false" ht="15.75" hidden="false" customHeight="false" outlineLevel="0" collapsed="false">
      <c r="F51" s="6" t="s">
        <v>83</v>
      </c>
    </row>
    <row r="52" customFormat="false" ht="15.75" hidden="false" customHeight="false" outlineLevel="0" collapsed="false">
      <c r="F52" s="6" t="s">
        <v>84</v>
      </c>
    </row>
    <row r="53" customFormat="false" ht="15.75" hidden="false" customHeight="false" outlineLevel="0" collapsed="false">
      <c r="F53" s="6" t="s">
        <v>85</v>
      </c>
    </row>
    <row r="54" customFormat="false" ht="15.75" hidden="false" customHeight="false" outlineLevel="0" collapsed="false">
      <c r="F54" s="6" t="s">
        <v>86</v>
      </c>
    </row>
    <row r="55" customFormat="false" ht="15.75" hidden="false" customHeight="false" outlineLevel="0" collapsed="false">
      <c r="F55" s="6" t="s">
        <v>87</v>
      </c>
    </row>
    <row r="56" customFormat="false" ht="15.75" hidden="false" customHeight="false" outlineLevel="0" collapsed="false">
      <c r="F56" s="6" t="s">
        <v>88</v>
      </c>
    </row>
    <row r="57" customFormat="false" ht="15.75" hidden="false" customHeight="false" outlineLevel="0" collapsed="false">
      <c r="F57" s="6" t="s">
        <v>89</v>
      </c>
    </row>
    <row r="58" customFormat="false" ht="15.75" hidden="false" customHeight="false" outlineLevel="0" collapsed="false">
      <c r="F58" s="6" t="s">
        <v>90</v>
      </c>
    </row>
    <row r="59" customFormat="false" ht="15.75" hidden="false" customHeight="false" outlineLevel="0" collapsed="false">
      <c r="F59" s="6" t="s">
        <v>91</v>
      </c>
    </row>
    <row r="60" customFormat="false" ht="15.75" hidden="false" customHeight="false" outlineLevel="0" collapsed="false">
      <c r="F60" s="6" t="s">
        <v>92</v>
      </c>
    </row>
    <row r="61" customFormat="false" ht="15.75" hidden="false" customHeight="false" outlineLevel="0" collapsed="false">
      <c r="F61" s="6" t="s">
        <v>93</v>
      </c>
    </row>
    <row r="62" customFormat="false" ht="15.75" hidden="false" customHeight="false" outlineLevel="0" collapsed="false">
      <c r="F62" s="6" t="s">
        <v>94</v>
      </c>
    </row>
    <row r="63" customFormat="false" ht="15.75" hidden="false" customHeight="false" outlineLevel="0" collapsed="false">
      <c r="F63" s="6" t="s">
        <v>95</v>
      </c>
    </row>
    <row r="64" customFormat="false" ht="15.75" hidden="false" customHeight="false" outlineLevel="0" collapsed="false">
      <c r="F64" s="6" t="s">
        <v>96</v>
      </c>
    </row>
    <row r="65" customFormat="false" ht="15.75" hidden="false" customHeight="false" outlineLevel="0" collapsed="false">
      <c r="F65" s="6" t="s">
        <v>97</v>
      </c>
    </row>
    <row r="66" customFormat="false" ht="15.75" hidden="false" customHeight="false" outlineLevel="0" collapsed="false">
      <c r="F66" s="6" t="s">
        <v>98</v>
      </c>
    </row>
    <row r="67" customFormat="false" ht="15.75" hidden="false" customHeight="false" outlineLevel="0" collapsed="false">
      <c r="F67" s="6" t="s">
        <v>99</v>
      </c>
    </row>
    <row r="68" customFormat="false" ht="15.75" hidden="false" customHeight="false" outlineLevel="0" collapsed="false">
      <c r="F68" s="6" t="s">
        <v>100</v>
      </c>
    </row>
    <row r="69" customFormat="false" ht="15.75" hidden="false" customHeight="false" outlineLevel="0" collapsed="false">
      <c r="F69" s="6" t="s">
        <v>101</v>
      </c>
    </row>
    <row r="70" customFormat="false" ht="15.75" hidden="false" customHeight="false" outlineLevel="0" collapsed="false">
      <c r="F70" s="6" t="s">
        <v>102</v>
      </c>
    </row>
    <row r="71" customFormat="false" ht="15.75" hidden="false" customHeight="false" outlineLevel="0" collapsed="false">
      <c r="F71" s="6" t="s">
        <v>103</v>
      </c>
    </row>
    <row r="72" customFormat="false" ht="15.75" hidden="false" customHeight="false" outlineLevel="0" collapsed="false">
      <c r="F72" s="6" t="s">
        <v>104</v>
      </c>
    </row>
    <row r="73" customFormat="false" ht="15.75" hidden="false" customHeight="false" outlineLevel="0" collapsed="false">
      <c r="F73" s="6" t="s">
        <v>105</v>
      </c>
    </row>
    <row r="74" customFormat="false" ht="15.75" hidden="false" customHeight="false" outlineLevel="0" collapsed="false">
      <c r="F74" s="6" t="s">
        <v>106</v>
      </c>
    </row>
    <row r="75" customFormat="false" ht="15.75" hidden="false" customHeight="false" outlineLevel="0" collapsed="false">
      <c r="F75" s="6" t="s">
        <v>107</v>
      </c>
    </row>
    <row r="76" customFormat="false" ht="15.75" hidden="false" customHeight="false" outlineLevel="0" collapsed="false">
      <c r="F76" s="6" t="s">
        <v>108</v>
      </c>
    </row>
    <row r="77" customFormat="false" ht="15.75" hidden="false" customHeight="false" outlineLevel="0" collapsed="false">
      <c r="F77" s="6" t="s">
        <v>109</v>
      </c>
    </row>
    <row r="78" customFormat="false" ht="15.75" hidden="false" customHeight="false" outlineLevel="0" collapsed="false">
      <c r="F78" s="6" t="s">
        <v>110</v>
      </c>
    </row>
    <row r="79" customFormat="false" ht="15.75" hidden="false" customHeight="false" outlineLevel="0" collapsed="false">
      <c r="F79" s="6" t="s">
        <v>111</v>
      </c>
    </row>
    <row r="80" customFormat="false" ht="15.75" hidden="false" customHeight="false" outlineLevel="0" collapsed="false">
      <c r="F80" s="6" t="s">
        <v>112</v>
      </c>
    </row>
  </sheetData>
  <conditionalFormatting sqref="C28">
    <cfRule type="expression" priority="2" aboveAverage="0" equalAverage="0" bottom="0" percent="0" rank="0" text="" dxfId="0">
      <formula>LEN(TRIM(C28))&gt;0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4.5"/>
  </cols>
  <sheetData>
    <row r="1" customFormat="false" ht="15.75" hidden="false" customHeight="false" outlineLevel="0" collapsed="false">
      <c r="A1" s="1" t="s">
        <v>0</v>
      </c>
    </row>
    <row r="2" customFormat="false" ht="15.75" hidden="false" customHeight="false" outlineLevel="0" collapsed="false">
      <c r="B2" s="2" t="s">
        <v>1</v>
      </c>
      <c r="C2" s="3"/>
      <c r="K2" s="5" t="s">
        <v>16</v>
      </c>
    </row>
    <row r="3" customFormat="false" ht="15.75" hidden="false" customHeight="false" outlineLevel="0" collapsed="false">
      <c r="B3" s="4" t="s">
        <v>2</v>
      </c>
      <c r="C3" s="5" t="n">
        <v>500</v>
      </c>
      <c r="D3" s="6" t="s">
        <v>3</v>
      </c>
      <c r="E3" s="12" t="s">
        <v>17</v>
      </c>
      <c r="F3" s="13"/>
      <c r="G3" s="13"/>
      <c r="H3" s="13"/>
      <c r="I3" s="13"/>
      <c r="K3" s="5" t="s">
        <v>18</v>
      </c>
    </row>
    <row r="4" customFormat="false" ht="15.75" hidden="false" customHeight="false" outlineLevel="0" collapsed="false">
      <c r="B4" s="7" t="s">
        <v>4</v>
      </c>
      <c r="C4" s="23" t="n">
        <v>4150000</v>
      </c>
      <c r="D4" s="24" t="n">
        <v>4148808</v>
      </c>
      <c r="E4" s="13"/>
      <c r="F4" s="14" t="s">
        <v>19</v>
      </c>
      <c r="G4" s="14" t="s">
        <v>20</v>
      </c>
      <c r="H4" s="14" t="s">
        <v>21</v>
      </c>
      <c r="I4" s="14" t="s">
        <v>22</v>
      </c>
      <c r="K4" s="5" t="s">
        <v>23</v>
      </c>
    </row>
    <row r="5" customFormat="false" ht="15.75" hidden="false" customHeight="false" outlineLevel="0" collapsed="false">
      <c r="B5" s="9" t="s">
        <v>5</v>
      </c>
      <c r="C5" s="9" t="n">
        <v>1352</v>
      </c>
      <c r="D5" s="6" t="s">
        <v>6</v>
      </c>
      <c r="E5" s="15" t="s">
        <v>24</v>
      </c>
      <c r="F5" s="15" t="n">
        <v>1352</v>
      </c>
      <c r="G5" s="15" t="n">
        <v>1400</v>
      </c>
      <c r="H5" s="15" t="n">
        <v>1448</v>
      </c>
      <c r="I5" s="15" t="n">
        <v>1448</v>
      </c>
      <c r="K5" s="5" t="s">
        <v>25</v>
      </c>
    </row>
    <row r="6" customFormat="false" ht="15.75" hidden="false" customHeight="false" outlineLevel="0" collapsed="false">
      <c r="B6" s="9" t="s">
        <v>7</v>
      </c>
      <c r="C6" s="9" t="n">
        <v>1448</v>
      </c>
      <c r="D6" s="6" t="s">
        <v>6</v>
      </c>
      <c r="E6" s="15" t="s">
        <v>8</v>
      </c>
      <c r="F6" s="15" t="n">
        <v>1</v>
      </c>
      <c r="G6" s="15" t="n">
        <v>1</v>
      </c>
      <c r="H6" s="15" t="n">
        <v>1</v>
      </c>
      <c r="I6" s="15" t="n">
        <v>3</v>
      </c>
      <c r="K6" s="5" t="s">
        <v>26</v>
      </c>
    </row>
    <row r="7" customFormat="false" ht="15.75" hidden="false" customHeight="false" outlineLevel="0" collapsed="false">
      <c r="B7" s="9" t="s">
        <v>8</v>
      </c>
      <c r="C7" s="3" t="n">
        <f aca="false">C6-C5</f>
        <v>96</v>
      </c>
      <c r="D7" s="6" t="s">
        <v>6</v>
      </c>
      <c r="E7" s="15" t="s">
        <v>27</v>
      </c>
      <c r="F7" s="13" t="n">
        <f aca="false">((202/F5)^3)*C3*F6</f>
        <v>1.667608261</v>
      </c>
      <c r="G7" s="13" t="n">
        <f aca="false">((202/G5)^3)*C3*G6</f>
        <v>1.501896501</v>
      </c>
      <c r="H7" s="13" t="n">
        <f aca="false">((202/H5)^3)*C3*H6</f>
        <v>1.357433075</v>
      </c>
      <c r="I7" s="13" t="n">
        <f aca="false">((202/I5)^3)*C3*I6</f>
        <v>4.072299226</v>
      </c>
      <c r="K7" s="5" t="s">
        <v>28</v>
      </c>
    </row>
    <row r="8" customFormat="false" ht="15.75" hidden="false" customHeight="false" outlineLevel="0" collapsed="false">
      <c r="B8" s="3"/>
      <c r="C8" s="3"/>
      <c r="E8" s="15" t="s">
        <v>29</v>
      </c>
      <c r="F8" s="13" t="n">
        <f aca="false">F7/1000</f>
        <v>0.001667608261</v>
      </c>
      <c r="G8" s="13" t="n">
        <f aca="false">G7/1000</f>
        <v>0.001501896501</v>
      </c>
      <c r="H8" s="13" t="n">
        <f aca="false">H7/1000</f>
        <v>0.001357433075</v>
      </c>
      <c r="I8" s="13" t="n">
        <f aca="false">I7/1000</f>
        <v>0.004072299226</v>
      </c>
      <c r="K8" s="5" t="s">
        <v>30</v>
      </c>
    </row>
    <row r="9" customFormat="false" ht="15.75" hidden="false" customHeight="false" outlineLevel="0" collapsed="false">
      <c r="A9" s="6" t="s">
        <v>9</v>
      </c>
      <c r="B9" s="9" t="s">
        <v>10</v>
      </c>
      <c r="C9" s="10" t="n">
        <f aca="false">C4*C3*(1/C5^2 -1/C6^2)</f>
        <v>145.5314507</v>
      </c>
      <c r="D9" s="6" t="s">
        <v>11</v>
      </c>
      <c r="E9" s="15" t="s">
        <v>31</v>
      </c>
      <c r="F9" s="13" t="n">
        <f aca="false">1/F8</f>
        <v>599.661217437445</v>
      </c>
      <c r="G9" s="13" t="n">
        <f aca="false">1/G8</f>
        <v>665.824841681284</v>
      </c>
      <c r="H9" s="13" t="n">
        <f aca="false">1/H8</f>
        <v>736.684569145333</v>
      </c>
      <c r="I9" s="13" t="n">
        <f aca="false">1/I8</f>
        <v>245.561522988144</v>
      </c>
    </row>
    <row r="10" customFormat="false" ht="15.75" hidden="false" customHeight="false" outlineLevel="0" collapsed="false">
      <c r="B10" s="2" t="s">
        <v>12</v>
      </c>
      <c r="C10" s="25" t="n">
        <f aca="false">C9/1000</f>
        <v>0.1455314507</v>
      </c>
      <c r="D10" s="6" t="s">
        <v>13</v>
      </c>
      <c r="E10" s="13"/>
      <c r="F10" s="13"/>
      <c r="G10" s="13"/>
      <c r="H10" s="13"/>
      <c r="I10" s="13"/>
    </row>
    <row r="11" customFormat="false" ht="15.75" hidden="false" customHeight="false" outlineLevel="0" collapsed="false">
      <c r="E11" s="13"/>
      <c r="F11" s="13"/>
      <c r="G11" s="13"/>
      <c r="H11" s="13"/>
      <c r="I11" s="13"/>
      <c r="K11" s="6" t="s">
        <v>32</v>
      </c>
      <c r="L11" s="16" t="s">
        <v>33</v>
      </c>
      <c r="M11" s="5" t="s">
        <v>34</v>
      </c>
      <c r="N11" s="17" t="s">
        <v>35</v>
      </c>
      <c r="P11" s="6" t="s">
        <v>36</v>
      </c>
    </row>
    <row r="12" customFormat="false" ht="15.75" hidden="false" customHeight="false" outlineLevel="0" collapsed="false">
      <c r="E12" s="13"/>
      <c r="F12" s="13"/>
      <c r="G12" s="13"/>
      <c r="H12" s="13"/>
      <c r="I12" s="13"/>
      <c r="K12" s="6" t="s">
        <v>37</v>
      </c>
      <c r="L12" s="18" t="n">
        <v>1.187913065936</v>
      </c>
      <c r="M12" s="5" t="n">
        <v>1.2165</v>
      </c>
      <c r="N12" s="17" t="n">
        <v>3.31400150122</v>
      </c>
    </row>
    <row r="13" customFormat="false" ht="15.75" hidden="false" customHeight="false" outlineLevel="0" collapsed="false">
      <c r="B13" s="0" t="n">
        <f aca="false">2.88*(C3)^0.5*F6*(F5/1000)^-1.5</f>
        <v>40.96495221</v>
      </c>
      <c r="E13" s="13"/>
      <c r="F13" s="13"/>
      <c r="G13" s="13"/>
      <c r="H13" s="13"/>
      <c r="I13" s="13"/>
      <c r="K13" s="6" t="s">
        <v>38</v>
      </c>
      <c r="L13" s="18" t="n">
        <v>4.84066</v>
      </c>
      <c r="M13" s="6" t="n">
        <v>5</v>
      </c>
      <c r="N13" s="17" t="n">
        <v>3.2603</v>
      </c>
    </row>
    <row r="14" customFormat="false" ht="15.75" hidden="false" customHeight="false" outlineLevel="0" collapsed="false">
      <c r="E14" s="13"/>
      <c r="F14" s="13"/>
      <c r="G14" s="13"/>
      <c r="H14" s="13"/>
      <c r="I14" s="13"/>
      <c r="K14" s="6" t="s">
        <v>39</v>
      </c>
      <c r="L14" s="18" t="n">
        <v>257</v>
      </c>
      <c r="M14" s="19" t="s">
        <v>40</v>
      </c>
      <c r="N14" s="17" t="n">
        <v>1.3</v>
      </c>
    </row>
    <row r="15" customFormat="false" ht="15.75" hidden="false" customHeight="false" outlineLevel="0" collapsed="false">
      <c r="E15" s="13"/>
      <c r="F15" s="13"/>
      <c r="G15" s="13"/>
      <c r="H15" s="13"/>
      <c r="I15" s="13"/>
    </row>
    <row r="16" customFormat="false" ht="15.75" hidden="false" customHeight="false" outlineLevel="0" collapsed="false">
      <c r="E16" s="13"/>
      <c r="F16" s="13"/>
      <c r="G16" s="13"/>
      <c r="H16" s="13"/>
      <c r="I16" s="13"/>
    </row>
    <row r="17" customFormat="false" ht="15.75" hidden="false" customHeight="false" outlineLevel="0" collapsed="false">
      <c r="A17" s="1" t="s">
        <v>41</v>
      </c>
    </row>
    <row r="18" customFormat="false" ht="15.75" hidden="false" customHeight="false" outlineLevel="0" collapsed="false">
      <c r="A18" s="1" t="s">
        <v>14</v>
      </c>
    </row>
    <row r="19" customFormat="false" ht="15.75" hidden="false" customHeight="false" outlineLevel="0" collapsed="false">
      <c r="A19" s="5" t="s">
        <v>15</v>
      </c>
    </row>
    <row r="20" customFormat="false" ht="15.75" hidden="false" customHeight="false" outlineLevel="0" collapsed="false">
      <c r="B20" s="2" t="s">
        <v>1</v>
      </c>
      <c r="C20" s="3"/>
      <c r="M20" s="6" t="s">
        <v>42</v>
      </c>
    </row>
    <row r="21" customFormat="false" ht="15.75" hidden="false" customHeight="false" outlineLevel="0" collapsed="false">
      <c r="B21" s="9" t="s">
        <v>2</v>
      </c>
      <c r="C21" s="9" t="n">
        <v>56</v>
      </c>
      <c r="M21" s="6" t="s">
        <v>43</v>
      </c>
    </row>
    <row r="22" customFormat="false" ht="15.75" hidden="false" customHeight="false" outlineLevel="0" collapsed="false">
      <c r="B22" s="9" t="s">
        <v>4</v>
      </c>
      <c r="C22" s="20" t="n">
        <v>4149000</v>
      </c>
      <c r="M22" s="6" t="s">
        <v>44</v>
      </c>
    </row>
    <row r="23" customFormat="false" ht="15.75" hidden="false" customHeight="false" outlineLevel="0" collapsed="false">
      <c r="B23" s="9" t="s">
        <v>5</v>
      </c>
      <c r="C23" s="9" t="n">
        <v>50</v>
      </c>
      <c r="F23" s="6" t="s">
        <v>45</v>
      </c>
    </row>
    <row r="24" customFormat="false" ht="15.75" hidden="false" customHeight="false" outlineLevel="0" collapsed="false">
      <c r="B24" s="9" t="s">
        <v>7</v>
      </c>
      <c r="C24" s="9" t="n">
        <v>80</v>
      </c>
      <c r="F24" s="6" t="s">
        <v>46</v>
      </c>
      <c r="M24" s="6" t="s">
        <v>47</v>
      </c>
    </row>
    <row r="25" customFormat="false" ht="15.75" hidden="false" customHeight="false" outlineLevel="0" collapsed="false">
      <c r="B25" s="9" t="s">
        <v>8</v>
      </c>
      <c r="C25" s="3" t="n">
        <f aca="false">C24-C23</f>
        <v>30</v>
      </c>
      <c r="M25" s="6" t="s">
        <v>48</v>
      </c>
    </row>
    <row r="26" customFormat="false" ht="15.75" hidden="false" customHeight="false" outlineLevel="0" collapsed="false">
      <c r="B26" s="3"/>
      <c r="C26" s="3"/>
      <c r="F26" s="6" t="s">
        <v>49</v>
      </c>
      <c r="M26" s="6" t="s">
        <v>50</v>
      </c>
    </row>
    <row r="27" customFormat="false" ht="15.75" hidden="false" customHeight="false" outlineLevel="0" collapsed="false">
      <c r="B27" s="9" t="s">
        <v>10</v>
      </c>
      <c r="C27" s="10" t="n">
        <f aca="false">C22*C21*(1/C23^2 -1/C24^2)</f>
        <v>56633.85</v>
      </c>
      <c r="M27" s="6" t="s">
        <v>51</v>
      </c>
    </row>
    <row r="28" customFormat="false" ht="15.75" hidden="false" customHeight="false" outlineLevel="0" collapsed="false">
      <c r="B28" s="9" t="s">
        <v>12</v>
      </c>
      <c r="C28" s="10" t="n">
        <f aca="false">C27/1000</f>
        <v>56.63385</v>
      </c>
      <c r="F28" s="6" t="s">
        <v>52</v>
      </c>
      <c r="M28" s="6" t="s">
        <v>53</v>
      </c>
    </row>
    <row r="29" customFormat="false" ht="15.75" hidden="false" customHeight="false" outlineLevel="0" collapsed="false">
      <c r="F29" s="6" t="s">
        <v>54</v>
      </c>
    </row>
    <row r="30" customFormat="false" ht="15.75" hidden="false" customHeight="false" outlineLevel="0" collapsed="false">
      <c r="F30" s="6" t="s">
        <v>55</v>
      </c>
      <c r="M30" s="21" t="s">
        <v>56</v>
      </c>
      <c r="N30" s="22"/>
      <c r="O30" s="22"/>
    </row>
    <row r="31" customFormat="false" ht="15.75" hidden="false" customHeight="false" outlineLevel="0" collapsed="false">
      <c r="F31" s="6" t="s">
        <v>57</v>
      </c>
      <c r="M31" s="6" t="s">
        <v>58</v>
      </c>
    </row>
    <row r="32" customFormat="false" ht="15.75" hidden="false" customHeight="false" outlineLevel="0" collapsed="false">
      <c r="F32" s="6" t="s">
        <v>59</v>
      </c>
      <c r="M32" s="6" t="s">
        <v>60</v>
      </c>
    </row>
    <row r="33" customFormat="false" ht="15.75" hidden="false" customHeight="false" outlineLevel="0" collapsed="false">
      <c r="F33" s="6" t="s">
        <v>61</v>
      </c>
      <c r="M33" s="6" t="s">
        <v>62</v>
      </c>
    </row>
    <row r="34" customFormat="false" ht="15.75" hidden="false" customHeight="false" outlineLevel="0" collapsed="false">
      <c r="F34" s="6" t="s">
        <v>63</v>
      </c>
    </row>
    <row r="35" customFormat="false" ht="15.75" hidden="false" customHeight="false" outlineLevel="0" collapsed="false">
      <c r="F35" s="6" t="s">
        <v>64</v>
      </c>
    </row>
    <row r="36" customFormat="false" ht="15.75" hidden="false" customHeight="false" outlineLevel="0" collapsed="false">
      <c r="F36" s="6" t="s">
        <v>65</v>
      </c>
    </row>
    <row r="37" customFormat="false" ht="15.75" hidden="false" customHeight="false" outlineLevel="0" collapsed="false">
      <c r="F37" s="6" t="s">
        <v>66</v>
      </c>
    </row>
    <row r="38" customFormat="false" ht="15.75" hidden="false" customHeight="false" outlineLevel="0" collapsed="false">
      <c r="F38" s="6" t="s">
        <v>67</v>
      </c>
    </row>
    <row r="39" customFormat="false" ht="15.75" hidden="false" customHeight="false" outlineLevel="0" collapsed="false">
      <c r="F39" s="6" t="s">
        <v>68</v>
      </c>
      <c r="M39" s="6" t="s">
        <v>69</v>
      </c>
    </row>
    <row r="40" customFormat="false" ht="15.75" hidden="false" customHeight="false" outlineLevel="0" collapsed="false">
      <c r="F40" s="6" t="s">
        <v>70</v>
      </c>
      <c r="M40" s="6" t="s">
        <v>71</v>
      </c>
      <c r="P40" s="6" t="n">
        <f aca="false">1/0.008</f>
        <v>125</v>
      </c>
    </row>
    <row r="41" customFormat="false" ht="15.75" hidden="false" customHeight="false" outlineLevel="0" collapsed="false">
      <c r="F41" s="6" t="s">
        <v>72</v>
      </c>
      <c r="M41" s="6" t="s">
        <v>73</v>
      </c>
    </row>
    <row r="42" customFormat="false" ht="15.75" hidden="false" customHeight="false" outlineLevel="0" collapsed="false">
      <c r="F42" s="6" t="s">
        <v>74</v>
      </c>
    </row>
    <row r="43" customFormat="false" ht="15.75" hidden="false" customHeight="false" outlineLevel="0" collapsed="false">
      <c r="F43" s="6" t="s">
        <v>75</v>
      </c>
    </row>
    <row r="44" customFormat="false" ht="15.75" hidden="false" customHeight="false" outlineLevel="0" collapsed="false">
      <c r="F44" s="6" t="s">
        <v>76</v>
      </c>
    </row>
    <row r="45" customFormat="false" ht="15.75" hidden="false" customHeight="false" outlineLevel="0" collapsed="false">
      <c r="F45" s="6" t="s">
        <v>77</v>
      </c>
    </row>
    <row r="46" customFormat="false" ht="15.75" hidden="false" customHeight="false" outlineLevel="0" collapsed="false">
      <c r="F46" s="6" t="s">
        <v>78</v>
      </c>
    </row>
    <row r="47" customFormat="false" ht="15.75" hidden="false" customHeight="false" outlineLevel="0" collapsed="false">
      <c r="F47" s="6" t="s">
        <v>79</v>
      </c>
    </row>
    <row r="48" customFormat="false" ht="15.75" hidden="false" customHeight="false" outlineLevel="0" collapsed="false">
      <c r="F48" s="6" t="s">
        <v>80</v>
      </c>
    </row>
    <row r="49" customFormat="false" ht="15.75" hidden="false" customHeight="false" outlineLevel="0" collapsed="false">
      <c r="F49" s="6" t="s">
        <v>81</v>
      </c>
    </row>
    <row r="50" customFormat="false" ht="15.75" hidden="false" customHeight="false" outlineLevel="0" collapsed="false">
      <c r="F50" s="6" t="s">
        <v>82</v>
      </c>
    </row>
    <row r="51" customFormat="false" ht="15.75" hidden="false" customHeight="false" outlineLevel="0" collapsed="false">
      <c r="F51" s="6" t="s">
        <v>83</v>
      </c>
    </row>
    <row r="52" customFormat="false" ht="15.75" hidden="false" customHeight="false" outlineLevel="0" collapsed="false">
      <c r="F52" s="6" t="s">
        <v>84</v>
      </c>
    </row>
    <row r="53" customFormat="false" ht="15.75" hidden="false" customHeight="false" outlineLevel="0" collapsed="false">
      <c r="F53" s="6" t="s">
        <v>85</v>
      </c>
    </row>
    <row r="54" customFormat="false" ht="15.75" hidden="false" customHeight="false" outlineLevel="0" collapsed="false">
      <c r="F54" s="6" t="s">
        <v>86</v>
      </c>
    </row>
    <row r="55" customFormat="false" ht="15.75" hidden="false" customHeight="false" outlineLevel="0" collapsed="false">
      <c r="F55" s="6" t="s">
        <v>87</v>
      </c>
    </row>
    <row r="56" customFormat="false" ht="15.75" hidden="false" customHeight="false" outlineLevel="0" collapsed="false">
      <c r="F56" s="6" t="s">
        <v>88</v>
      </c>
    </row>
    <row r="57" customFormat="false" ht="15.75" hidden="false" customHeight="false" outlineLevel="0" collapsed="false">
      <c r="F57" s="6" t="s">
        <v>89</v>
      </c>
    </row>
    <row r="58" customFormat="false" ht="15.75" hidden="false" customHeight="false" outlineLevel="0" collapsed="false">
      <c r="F58" s="6" t="s">
        <v>90</v>
      </c>
    </row>
    <row r="59" customFormat="false" ht="15.75" hidden="false" customHeight="false" outlineLevel="0" collapsed="false">
      <c r="F59" s="6" t="s">
        <v>91</v>
      </c>
    </row>
    <row r="60" customFormat="false" ht="15.75" hidden="false" customHeight="false" outlineLevel="0" collapsed="false">
      <c r="F60" s="6" t="s">
        <v>92</v>
      </c>
    </row>
    <row r="61" customFormat="false" ht="15.75" hidden="false" customHeight="false" outlineLevel="0" collapsed="false">
      <c r="F61" s="6" t="s">
        <v>93</v>
      </c>
    </row>
    <row r="62" customFormat="false" ht="15.75" hidden="false" customHeight="false" outlineLevel="0" collapsed="false">
      <c r="F62" s="6" t="s">
        <v>94</v>
      </c>
    </row>
    <row r="63" customFormat="false" ht="15.75" hidden="false" customHeight="false" outlineLevel="0" collapsed="false">
      <c r="F63" s="6" t="s">
        <v>95</v>
      </c>
    </row>
    <row r="64" customFormat="false" ht="15.75" hidden="false" customHeight="false" outlineLevel="0" collapsed="false">
      <c r="F64" s="6" t="s">
        <v>96</v>
      </c>
    </row>
    <row r="65" customFormat="false" ht="15.75" hidden="false" customHeight="false" outlineLevel="0" collapsed="false">
      <c r="F65" s="6" t="s">
        <v>97</v>
      </c>
    </row>
    <row r="66" customFormat="false" ht="15.75" hidden="false" customHeight="false" outlineLevel="0" collapsed="false">
      <c r="F66" s="6" t="s">
        <v>98</v>
      </c>
    </row>
    <row r="67" customFormat="false" ht="15.75" hidden="false" customHeight="false" outlineLevel="0" collapsed="false">
      <c r="F67" s="6" t="s">
        <v>99</v>
      </c>
    </row>
    <row r="68" customFormat="false" ht="15.75" hidden="false" customHeight="false" outlineLevel="0" collapsed="false">
      <c r="F68" s="6" t="s">
        <v>100</v>
      </c>
    </row>
    <row r="69" customFormat="false" ht="15.75" hidden="false" customHeight="false" outlineLevel="0" collapsed="false">
      <c r="F69" s="6" t="s">
        <v>101</v>
      </c>
    </row>
    <row r="70" customFormat="false" ht="15.75" hidden="false" customHeight="false" outlineLevel="0" collapsed="false">
      <c r="F70" s="6" t="s">
        <v>102</v>
      </c>
    </row>
    <row r="71" customFormat="false" ht="15.75" hidden="false" customHeight="false" outlineLevel="0" collapsed="false">
      <c r="F71" s="6" t="s">
        <v>103</v>
      </c>
    </row>
    <row r="72" customFormat="false" ht="15.75" hidden="false" customHeight="false" outlineLevel="0" collapsed="false">
      <c r="F72" s="6" t="s">
        <v>104</v>
      </c>
    </row>
    <row r="73" customFormat="false" ht="15.75" hidden="false" customHeight="false" outlineLevel="0" collapsed="false">
      <c r="F73" s="6" t="s">
        <v>105</v>
      </c>
    </row>
    <row r="74" customFormat="false" ht="15.75" hidden="false" customHeight="false" outlineLevel="0" collapsed="false">
      <c r="F74" s="6" t="s">
        <v>106</v>
      </c>
    </row>
    <row r="75" customFormat="false" ht="15.75" hidden="false" customHeight="false" outlineLevel="0" collapsed="false">
      <c r="F75" s="6" t="s">
        <v>107</v>
      </c>
    </row>
    <row r="76" customFormat="false" ht="15.75" hidden="false" customHeight="false" outlineLevel="0" collapsed="false">
      <c r="F76" s="6" t="s">
        <v>108</v>
      </c>
    </row>
    <row r="77" customFormat="false" ht="15.75" hidden="false" customHeight="false" outlineLevel="0" collapsed="false">
      <c r="F77" s="6" t="s">
        <v>109</v>
      </c>
    </row>
    <row r="78" customFormat="false" ht="15.75" hidden="false" customHeight="false" outlineLevel="0" collapsed="false">
      <c r="F78" s="6" t="s">
        <v>110</v>
      </c>
    </row>
    <row r="79" customFormat="false" ht="15.75" hidden="false" customHeight="false" outlineLevel="0" collapsed="false">
      <c r="F79" s="6" t="s">
        <v>111</v>
      </c>
    </row>
    <row r="80" customFormat="false" ht="15.75" hidden="false" customHeight="false" outlineLevel="0" collapsed="false">
      <c r="F80" s="6" t="s">
        <v>112</v>
      </c>
    </row>
  </sheetData>
  <conditionalFormatting sqref="C28">
    <cfRule type="expression" priority="2" aboveAverage="0" equalAverage="0" bottom="0" percent="0" rank="0" text="" dxfId="0">
      <formula>LEN(TRIM(C28))&gt;0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26" t="s">
        <v>113</v>
      </c>
    </row>
    <row r="2" customFormat="false" ht="15.75" hidden="false" customHeight="false" outlineLevel="0" collapsed="false">
      <c r="A2" s="27" t="s">
        <v>114</v>
      </c>
    </row>
    <row r="5" customFormat="false" ht="15.75" hidden="false" customHeight="false" outlineLevel="0" collapsed="false">
      <c r="A5" s="28" t="s">
        <v>115</v>
      </c>
    </row>
    <row r="6" customFormat="false" ht="15.75" hidden="false" customHeight="false" outlineLevel="0" collapsed="false">
      <c r="A6" s="29" t="s">
        <v>116</v>
      </c>
    </row>
    <row r="7" customFormat="false" ht="15.75" hidden="false" customHeight="false" outlineLevel="0" collapsed="false">
      <c r="A7" s="30"/>
    </row>
    <row r="8" customFormat="false" ht="15.75" hidden="false" customHeight="false" outlineLevel="0" collapsed="false">
      <c r="A8" s="30"/>
    </row>
    <row r="9" customFormat="false" ht="15.75" hidden="false" customHeight="false" outlineLevel="0" collapsed="false">
      <c r="A9" s="30"/>
    </row>
    <row r="10" customFormat="false" ht="15.75" hidden="false" customHeight="false" outlineLevel="0" collapsed="false">
      <c r="A10" s="29" t="s">
        <v>117</v>
      </c>
    </row>
    <row r="11" customFormat="false" ht="15.75" hidden="false" customHeight="false" outlineLevel="0" collapsed="false">
      <c r="A11" s="29" t="s">
        <v>118</v>
      </c>
    </row>
    <row r="12" customFormat="false" ht="15.75" hidden="false" customHeight="false" outlineLevel="0" collapsed="false">
      <c r="A12" s="30"/>
    </row>
    <row r="13" customFormat="false" ht="15.75" hidden="false" customHeight="false" outlineLevel="0" collapsed="false">
      <c r="A13" s="28" t="s">
        <v>119</v>
      </c>
    </row>
    <row r="14" customFormat="false" ht="15.75" hidden="false" customHeight="false" outlineLevel="0" collapsed="false">
      <c r="A14" s="30"/>
    </row>
    <row r="15" customFormat="false" ht="15.75" hidden="false" customHeight="false" outlineLevel="0" collapsed="false">
      <c r="A15" s="29" t="s">
        <v>120</v>
      </c>
    </row>
    <row r="16" customFormat="false" ht="15.75" hidden="false" customHeight="false" outlineLevel="0" collapsed="false">
      <c r="A16" s="28" t="s">
        <v>121</v>
      </c>
    </row>
    <row r="17" customFormat="false" ht="15.75" hidden="false" customHeight="false" outlineLevel="0" collapsed="false">
      <c r="A17" s="30"/>
    </row>
    <row r="18" customFormat="false" ht="15.75" hidden="false" customHeight="false" outlineLevel="0" collapsed="false">
      <c r="A18" s="28" t="s">
        <v>122</v>
      </c>
    </row>
    <row r="19" customFormat="false" ht="15.75" hidden="false" customHeight="false" outlineLevel="0" collapsed="false">
      <c r="A19" s="28" t="s">
        <v>123</v>
      </c>
    </row>
    <row r="20" customFormat="false" ht="15.75" hidden="false" customHeight="false" outlineLevel="0" collapsed="false">
      <c r="A20" s="30"/>
    </row>
    <row r="21" customFormat="false" ht="15.75" hidden="false" customHeight="false" outlineLevel="0" collapsed="false">
      <c r="A21" s="30"/>
    </row>
    <row r="22" customFormat="false" ht="15.75" hidden="false" customHeight="false" outlineLevel="0" collapsed="false">
      <c r="A22" s="30"/>
    </row>
    <row r="23" customFormat="false" ht="15.75" hidden="false" customHeight="false" outlineLevel="0" collapsed="false">
      <c r="A23" s="29" t="s">
        <v>124</v>
      </c>
    </row>
    <row r="24" customFormat="false" ht="15.75" hidden="false" customHeight="false" outlineLevel="0" collapsed="false">
      <c r="A24" s="30"/>
    </row>
    <row r="25" customFormat="false" ht="15.75" hidden="false" customHeight="false" outlineLevel="0" collapsed="false">
      <c r="A25" s="31" t="s">
        <v>125</v>
      </c>
    </row>
  </sheetData>
  <hyperlinks>
    <hyperlink ref="A1" r:id="rId1" display="https://iopscience.iop.org/article/10.1086/133935/pdf"/>
    <hyperlink ref="A5" r:id="rId2" display="http://dspace.rri.res.in/bitstream/2289/3318/11/Chapter%202%20%26%203.pdf"/>
    <hyperlink ref="A13" r:id="rId3" display="https://arxiv.org/pdf/1410.7422.pdf"/>
    <hyperlink ref="A16" r:id="rId4" display="https://www.aanda.org/articles/aa/pdf/2010/01/aa13121-09.pdf"/>
    <hyperlink ref="A18" r:id="rId5" display="https://www.worldscientific.com/doi/pdf/10.1142/S2251171716410105"/>
    <hyperlink ref="A19" r:id="rId6" display="https://hal-insu.archives-ouvertes.fr/insu-01258465/file/MNRAS-2013-Zakharenko-3624-41.pdf"/>
    <hyperlink ref="A25" r:id="rId7" display="http://www.naic.edu/~phil/hardware/pdev/tests/timeDomain_mock_psr.html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2026-02-26T10:10:37Z</dcterms:modified>
  <cp:revision>1</cp:revision>
  <dc:subject/>
  <dc:title/>
</cp:coreProperties>
</file>